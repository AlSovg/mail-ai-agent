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Метр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#,##0.0"/>
    <numFmt numFmtId="167" formatCode="#,##0;[Red]-#,##0"/>
    <numFmt numFmtId="168" formatCode="0%;[Red]-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4" borderId="1" pivotButton="0" quotePrefix="0" xfId="0"/>
    <xf numFmtId="9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" fontId="0" fillId="4" borderId="1" pivotButton="0" quotePrefix="0" xfId="0"/>
    <xf numFmtId="3" fontId="0" fillId="0" borderId="1" pivotButton="0" quotePrefix="0" xfId="0"/>
    <xf numFmtId="3" fontId="3" fillId="5" borderId="1" pivotButton="0" quotePrefix="0" xfId="0"/>
    <xf numFmtId="10" fontId="0" fillId="0" borderId="1" pivotButton="0" quotePrefix="0" xfId="0"/>
    <xf numFmtId="166" fontId="0" fillId="0" borderId="1" pivotButton="0" quotePrefix="0" xfId="0"/>
    <xf numFmtId="167" fontId="3" fillId="5" borderId="1" pivotButton="0" quotePrefix="0" xfId="0"/>
    <xf numFmtId="49" fontId="3" fillId="5" borderId="1" pivotButton="0" quotePrefix="0" xfId="0"/>
    <xf numFmtId="168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  <col width="16" customWidth="1" min="5" max="5"/>
    <col width="70" customWidth="1" min="6" max="6"/>
  </cols>
  <sheetData>
    <row r="1">
      <c r="A1" s="1" t="inlineStr">
        <is>
          <t>Допущения модели (жёлтые ячейки можно менять)</t>
        </is>
      </c>
    </row>
    <row r="2">
      <c r="A2" t="inlineStr">
        <is>
          <t>Итоговая выручка — на 12-й месяц (стационарный срез). Всё, кроме пометки «факт», — допущение до Discovery и выбора LLM.</t>
        </is>
      </c>
    </row>
    <row r="4">
      <c r="A4" s="2" t="inlineStr">
        <is>
          <t>Параметр</t>
        </is>
      </c>
      <c r="B4" s="2" t="inlineStr">
        <is>
          <t>Консервативно</t>
        </is>
      </c>
      <c r="C4" s="2" t="inlineStr">
        <is>
          <t>Базово</t>
        </is>
      </c>
      <c r="D4" s="2" t="inlineStr">
        <is>
          <t>Оптимистично</t>
        </is>
      </c>
      <c r="E4" s="2" t="inlineStr">
        <is>
          <t>Ед.</t>
        </is>
      </c>
      <c r="F4" s="2" t="inlineStr">
        <is>
          <t>Статус / источник</t>
        </is>
      </c>
    </row>
    <row r="5">
      <c r="A5" s="3" t="inlineStr">
        <is>
          <t>Аудитория (факты и оценки)</t>
        </is>
      </c>
      <c r="B5" s="4" t="n"/>
      <c r="C5" s="4" t="n"/>
      <c r="D5" s="4" t="n"/>
      <c r="E5" s="4" t="n"/>
      <c r="F5" s="4" t="n"/>
    </row>
    <row r="6">
      <c r="A6" s="5" t="inlineStr">
        <is>
          <t>Аудитория Почты Mail</t>
        </is>
      </c>
      <c r="B6" s="6" t="n">
        <v>43000000</v>
      </c>
      <c r="C6" s="6" t="n">
        <v>51000000</v>
      </c>
      <c r="D6" s="6" t="n">
        <v>51000000</v>
      </c>
      <c r="E6" s="5" t="inlineStr">
        <is>
          <t>чел./мес</t>
        </is>
      </c>
      <c r="F6" s="5" t="inlineStr">
        <is>
          <t>51 млн — Mediascope, дек. 2022 (факт, устарел); 43 млн ≈ 105 млн пользователей почты в РФ × 40,7% (inclient.ru, вторичный источник)</t>
        </is>
      </c>
    </row>
    <row r="7">
      <c r="A7" s="5" t="inlineStr">
        <is>
          <t>Доля Mail среди почтовых ящиков специалистов/студентов/предпринимателей</t>
        </is>
      </c>
      <c r="B7" s="7" t="n">
        <v>0.24</v>
      </c>
      <c r="C7" s="7" t="n">
        <v>0.35</v>
      </c>
      <c r="D7" s="7" t="n">
        <v>0.4</v>
      </c>
      <c r="E7" s="5" t="inlineStr">
        <is>
          <t>%</t>
        </is>
      </c>
      <c r="F7" s="5" t="inlineStr">
        <is>
          <t>24% — опрос Яндекс 360 (апр. 2026, города-миллионники); 40% — доля Mail в РФ (inclient.ru)</t>
        </is>
      </c>
    </row>
    <row r="8">
      <c r="A8" s="5" t="inlineStr">
        <is>
          <t>Доля, активная в MAX/VK (можно достучаться ботом)</t>
        </is>
      </c>
      <c r="B8" s="7" t="n">
        <v>0.6</v>
      </c>
      <c r="C8" s="7" t="n">
        <v>0.7</v>
      </c>
      <c r="D8" s="7" t="n">
        <v>0.8</v>
      </c>
      <c r="E8" s="5" t="inlineStr">
        <is>
          <t>%</t>
        </is>
      </c>
      <c r="F8" s="5" t="inlineStr">
        <is>
          <t>допущение; MAX 85 млн ежедневно (май 2026, VK) при ~105 млн пользователей почты</t>
        </is>
      </c>
    </row>
    <row r="9">
      <c r="A9" s="5" t="inlineStr">
        <is>
          <t>Студенты вузов</t>
        </is>
      </c>
      <c r="B9" s="6" t="n">
        <v>4846085</v>
      </c>
      <c r="C9" s="6" t="n">
        <v>4846085</v>
      </c>
      <c r="D9" s="6" t="n">
        <v>4846085</v>
      </c>
      <c r="E9" s="5" t="inlineStr">
        <is>
          <t>чел.</t>
        </is>
      </c>
      <c r="F9" s="5" t="inlineStr">
        <is>
          <t>факт: Минобрнауки, 2025/26 (СПО не включены)</t>
        </is>
      </c>
    </row>
    <row r="10">
      <c r="A10" s="5" t="inlineStr">
        <is>
          <t>Занятые в экономике</t>
        </is>
      </c>
      <c r="B10" s="6" t="n">
        <v>74600000</v>
      </c>
      <c r="C10" s="6" t="n">
        <v>74600000</v>
      </c>
      <c r="D10" s="6" t="n">
        <v>74600000</v>
      </c>
      <c r="E10" s="5" t="inlineStr">
        <is>
          <t>чел.</t>
        </is>
      </c>
      <c r="F10" s="5" t="inlineStr">
        <is>
          <t>факт: Росстат, март 2026</t>
        </is>
      </c>
    </row>
    <row r="11">
      <c r="A11" s="5" t="inlineStr">
        <is>
          <t>Доля специалистов (работа с почтой и перепиской) среди занятых</t>
        </is>
      </c>
      <c r="B11" s="7" t="n">
        <v>0.25</v>
      </c>
      <c r="C11" s="7" t="n">
        <v>0.3</v>
      </c>
      <c r="D11" s="7" t="n">
        <v>0.35</v>
      </c>
      <c r="E11" s="5" t="inlineStr">
        <is>
          <t>%</t>
        </is>
      </c>
      <c r="F11" s="5" t="inlineStr">
        <is>
          <t>допущение; проверить по данным Росстата/HH</t>
        </is>
      </c>
    </row>
    <row r="12">
      <c r="A12" s="5" t="inlineStr">
        <is>
          <t>Предприниматели: самозанятые и ИП</t>
        </is>
      </c>
      <c r="B12" s="6" t="n">
        <v>20400000</v>
      </c>
      <c r="C12" s="6" t="n">
        <v>20400000</v>
      </c>
      <c r="D12" s="6" t="n">
        <v>20400000</v>
      </c>
      <c r="E12" s="5" t="inlineStr">
        <is>
          <t>чел.</t>
        </is>
      </c>
      <c r="F12" s="5" t="inlineStr">
        <is>
          <t>факт: ФНС, апрель 2026: 16,41 млн НПД + 4,84 млн ИП − 0,84 млн ИП на НПД</t>
        </is>
      </c>
    </row>
    <row r="13">
      <c r="A13" s="5" t="inlineStr">
        <is>
          <t>Справка: юрлиц в России (команды)</t>
        </is>
      </c>
      <c r="B13" s="6" t="n">
        <v>3139085</v>
      </c>
      <c r="C13" s="6" t="n">
        <v>3139085</v>
      </c>
      <c r="D13" s="6" t="n">
        <v>3139085</v>
      </c>
      <c r="E13" s="5" t="inlineStr">
        <is>
          <t>шт.</t>
        </is>
      </c>
      <c r="F13" s="5" t="inlineStr">
        <is>
          <t>факт: ФНС, апрель 2026; команды вне расчёта 1-го года (H8 после MVP)</t>
        </is>
      </c>
    </row>
    <row r="14">
      <c r="A14" s="3" t="inlineStr">
        <is>
          <t>Воронка (общая)</t>
        </is>
      </c>
      <c r="B14" s="4" t="n"/>
      <c r="C14" s="4" t="n"/>
      <c r="D14" s="4" t="n"/>
      <c r="E14" s="4" t="n"/>
      <c r="F14" s="4" t="n"/>
    </row>
    <row r="15">
      <c r="A15" s="5" t="inlineStr">
        <is>
          <t>Охват: узнали о боте за 12 мес. (от активных в мессенджере)</t>
        </is>
      </c>
      <c r="B15" s="7" t="n">
        <v>0.1</v>
      </c>
      <c r="C15" s="7" t="n">
        <v>0.25</v>
      </c>
      <c r="D15" s="7" t="n">
        <v>0.4</v>
      </c>
      <c r="E15" s="5" t="inlineStr">
        <is>
          <t>%</t>
        </is>
      </c>
      <c r="F15" s="5" t="inlineStr">
        <is>
          <t>допущение; VK владеет и Почтой, и MAX → кросс-промо; главный рычаг, проверять пилотом</t>
        </is>
      </c>
    </row>
    <row r="16">
      <c r="A16" s="5" t="inlineStr">
        <is>
          <t>Множитель доли подключения (сценарий)</t>
        </is>
      </c>
      <c r="B16" s="8" t="n">
        <v>0.5</v>
      </c>
      <c r="C16" s="8" t="n">
        <v>1</v>
      </c>
      <c r="D16" s="8" t="n">
        <v>1.5</v>
      </c>
      <c r="E16" s="5" t="inlineStr">
        <is>
          <t>×</t>
        </is>
      </c>
      <c r="F16" s="5" t="inlineStr">
        <is>
          <t>допущение; масштабирует доли подключения ниже</t>
        </is>
      </c>
    </row>
    <row r="17">
      <c r="A17" s="5" t="inlineStr">
        <is>
          <t>Множитель конверсии в оплату (сценарий)</t>
        </is>
      </c>
      <c r="B17" s="8" t="n">
        <v>0.5</v>
      </c>
      <c r="C17" s="8" t="n">
        <v>1</v>
      </c>
      <c r="D17" s="8" t="n">
        <v>1.5</v>
      </c>
      <c r="E17" s="5" t="inlineStr">
        <is>
          <t>×</t>
        </is>
      </c>
      <c r="F17" s="5" t="inlineStr">
        <is>
          <t>допущение; ориентиры: платят за ИИ 12% (ICT.Moscow, 03.2026), готовы платить 10% (OMI, 05.2026), 55% среди пользователей ИИ (ComNews, 06.2026)</t>
        </is>
      </c>
    </row>
    <row r="18">
      <c r="A18" s="3" t="inlineStr">
        <is>
          <t>Воронка по сегментам (базовые значения)</t>
        </is>
      </c>
      <c r="B18" s="4" t="n"/>
      <c r="C18" s="4" t="n"/>
      <c r="D18" s="4" t="n"/>
      <c r="E18" s="4" t="n"/>
      <c r="F18" s="4" t="n"/>
    </row>
    <row r="19">
      <c r="A19" s="5" t="inlineStr">
        <is>
          <t>Личные: подключили ящик (от охваченных)</t>
        </is>
      </c>
      <c r="B19" s="9" t="n">
        <v>0.03</v>
      </c>
      <c r="C19" s="9" t="n">
        <v>0.03</v>
      </c>
      <c r="D19" s="9" t="n">
        <v>0.03</v>
      </c>
      <c r="E19" s="5" t="inlineStr">
        <is>
          <t>%</t>
        </is>
      </c>
      <c r="F19" s="5" t="inlineStr">
        <is>
          <t>допущение</t>
        </is>
      </c>
    </row>
    <row r="20">
      <c r="A20" s="5" t="inlineStr">
        <is>
          <t>Личные: платят (от подключивших)</t>
        </is>
      </c>
      <c r="B20" s="9" t="n">
        <v>0.03</v>
      </c>
      <c r="C20" s="9" t="n">
        <v>0.03</v>
      </c>
      <c r="D20" s="9" t="n">
        <v>0.03</v>
      </c>
      <c r="E20" s="5" t="inlineStr">
        <is>
          <t>%</t>
        </is>
      </c>
      <c r="F20" s="5" t="inlineStr">
        <is>
          <t>допущение</t>
        </is>
      </c>
    </row>
    <row r="21">
      <c r="A21" s="5" t="inlineStr">
        <is>
          <t>Личные: цена</t>
        </is>
      </c>
      <c r="B21" s="6" t="n">
        <v>149</v>
      </c>
      <c r="C21" s="6" t="n">
        <v>149</v>
      </c>
      <c r="D21" s="6" t="n">
        <v>149</v>
      </c>
      <c r="E21" s="5" t="inlineStr">
        <is>
          <t>₽/мес</t>
        </is>
      </c>
      <c r="F21" s="5" t="inlineStr">
        <is>
          <t>допущение; ориентир Алиса Про 250 ₽/мес</t>
        </is>
      </c>
    </row>
    <row r="22">
      <c r="A22" s="5" t="inlineStr">
        <is>
          <t>Студенты: подключили</t>
        </is>
      </c>
      <c r="B22" s="9" t="n">
        <v>0.05</v>
      </c>
      <c r="C22" s="9" t="n">
        <v>0.05</v>
      </c>
      <c r="D22" s="9" t="n">
        <v>0.05</v>
      </c>
      <c r="E22" s="5" t="inlineStr">
        <is>
          <t>%</t>
        </is>
      </c>
      <c r="F22" s="5" t="inlineStr">
        <is>
          <t>допущение</t>
        </is>
      </c>
    </row>
    <row r="23">
      <c r="A23" s="5" t="inlineStr">
        <is>
          <t>Студенты: платят</t>
        </is>
      </c>
      <c r="B23" s="9" t="n">
        <v>0.04</v>
      </c>
      <c r="C23" s="9" t="n">
        <v>0.04</v>
      </c>
      <c r="D23" s="9" t="n">
        <v>0.04</v>
      </c>
      <c r="E23" s="5" t="inlineStr">
        <is>
          <t>%</t>
        </is>
      </c>
      <c r="F23" s="5" t="inlineStr">
        <is>
          <t>допущение; молодёжь готова платить больше (3 493 ₽/мес, 18–24 г., ComNews)</t>
        </is>
      </c>
    </row>
    <row r="24">
      <c r="A24" s="5" t="inlineStr">
        <is>
          <t>Студенты: цена</t>
        </is>
      </c>
      <c r="B24" s="6" t="n">
        <v>99</v>
      </c>
      <c r="C24" s="6" t="n">
        <v>99</v>
      </c>
      <c r="D24" s="6" t="n">
        <v>99</v>
      </c>
      <c r="E24" s="5" t="inlineStr">
        <is>
          <t>₽/мес</t>
        </is>
      </c>
      <c r="F24" s="5" t="inlineStr">
        <is>
          <t>допущение</t>
        </is>
      </c>
    </row>
    <row r="25">
      <c r="A25" s="5" t="inlineStr">
        <is>
          <t>Специалисты: подключили</t>
        </is>
      </c>
      <c r="B25" s="9" t="n">
        <v>0.08</v>
      </c>
      <c r="C25" s="9" t="n">
        <v>0.08</v>
      </c>
      <c r="D25" s="9" t="n">
        <v>0.08</v>
      </c>
      <c r="E25" s="5" t="inlineStr">
        <is>
          <t>%</t>
        </is>
      </c>
      <c r="F25" s="5" t="inlineStr">
        <is>
          <t>допущение</t>
        </is>
      </c>
    </row>
    <row r="26">
      <c r="A26" s="5" t="inlineStr">
        <is>
          <t>Специалисты: платят</t>
        </is>
      </c>
      <c r="B26" s="9" t="n">
        <v>0.08</v>
      </c>
      <c r="C26" s="9" t="n">
        <v>0.08</v>
      </c>
      <c r="D26" s="9" t="n">
        <v>0.08</v>
      </c>
      <c r="E26" s="5" t="inlineStr">
        <is>
          <t>%</t>
        </is>
      </c>
      <c r="F26" s="5" t="inlineStr">
        <is>
          <t>допущение</t>
        </is>
      </c>
    </row>
    <row r="27">
      <c r="A27" s="5" t="inlineStr">
        <is>
          <t>Специалисты: цена</t>
        </is>
      </c>
      <c r="B27" s="6" t="n">
        <v>199</v>
      </c>
      <c r="C27" s="6" t="n">
        <v>199</v>
      </c>
      <c r="D27" s="6" t="n">
        <v>199</v>
      </c>
      <c r="E27" s="5" t="inlineStr">
        <is>
          <t>₽/мес</t>
        </is>
      </c>
      <c r="F27" s="5" t="inlineStr">
        <is>
          <t>допущение</t>
        </is>
      </c>
    </row>
    <row r="28">
      <c r="A28" s="5" t="inlineStr">
        <is>
          <t>Предприниматели: подключили</t>
        </is>
      </c>
      <c r="B28" s="9" t="n">
        <v>0.1</v>
      </c>
      <c r="C28" s="9" t="n">
        <v>0.1</v>
      </c>
      <c r="D28" s="9" t="n">
        <v>0.1</v>
      </c>
      <c r="E28" s="5" t="inlineStr">
        <is>
          <t>%</t>
        </is>
      </c>
      <c r="F28" s="5" t="inlineStr">
        <is>
          <t>допущение</t>
        </is>
      </c>
    </row>
    <row r="29">
      <c r="A29" s="5" t="inlineStr">
        <is>
          <t>Предприниматели: платят</t>
        </is>
      </c>
      <c r="B29" s="9" t="n">
        <v>0.12</v>
      </c>
      <c r="C29" s="9" t="n">
        <v>0.12</v>
      </c>
      <c r="D29" s="9" t="n">
        <v>0.12</v>
      </c>
      <c r="E29" s="5" t="inlineStr">
        <is>
          <t>%</t>
        </is>
      </c>
      <c r="F29" s="5" t="inlineStr">
        <is>
          <t>допущение</t>
        </is>
      </c>
    </row>
    <row r="30">
      <c r="A30" s="5" t="inlineStr">
        <is>
          <t>Предприниматели: цена</t>
        </is>
      </c>
      <c r="B30" s="6" t="n">
        <v>299</v>
      </c>
      <c r="C30" s="6" t="n">
        <v>299</v>
      </c>
      <c r="D30" s="6" t="n">
        <v>299</v>
      </c>
      <c r="E30" s="5" t="inlineStr">
        <is>
          <t>₽/мес</t>
        </is>
      </c>
      <c r="F30" s="5" t="inlineStr">
        <is>
          <t>допущение</t>
        </is>
      </c>
    </row>
    <row r="31">
      <c r="A31" s="3" t="inlineStr">
        <is>
          <t>Использование LLM (на пользователя в месяц)</t>
        </is>
      </c>
      <c r="B31" s="4" t="n"/>
      <c r="C31" s="4" t="n"/>
      <c r="D31" s="4" t="n"/>
      <c r="E31" s="4" t="n"/>
      <c r="F31" s="4" t="n"/>
    </row>
    <row r="32">
      <c r="A32" s="5" t="inlineStr">
        <is>
          <t>Сводок в месяц</t>
        </is>
      </c>
      <c r="B32" s="10" t="n">
        <v>30</v>
      </c>
      <c r="C32" s="10" t="n">
        <v>30</v>
      </c>
      <c r="D32" s="10" t="n">
        <v>30</v>
      </c>
      <c r="E32" s="5" t="inlineStr">
        <is>
          <t>шт.</t>
        </is>
      </c>
      <c r="F32" s="5" t="inlineStr">
        <is>
          <t>допущение (S1 ежедневно)</t>
        </is>
      </c>
    </row>
    <row r="33">
      <c r="A33" s="5" t="inlineStr">
        <is>
          <t>Токенов на сводку (вход + выход)</t>
        </is>
      </c>
      <c r="B33" s="6" t="n">
        <v>11000</v>
      </c>
      <c r="C33" s="6" t="n">
        <v>11000</v>
      </c>
      <c r="D33" s="6" t="n">
        <v>11000</v>
      </c>
      <c r="E33" s="5" t="inlineStr">
        <is>
          <t>ток.</t>
        </is>
      </c>
      <c r="F33" s="5" t="inlineStr">
        <is>
          <t>допущение (~20 писем × 500 + ответ)</t>
        </is>
      </c>
    </row>
    <row r="34">
      <c r="A34" s="5" t="inlineStr">
        <is>
          <t>Прочих запросов в месяц (поиск, пересказ, черновик)</t>
        </is>
      </c>
      <c r="B34" s="10" t="n">
        <v>20</v>
      </c>
      <c r="C34" s="10" t="n">
        <v>20</v>
      </c>
      <c r="D34" s="10" t="n">
        <v>20</v>
      </c>
      <c r="E34" s="5" t="inlineStr">
        <is>
          <t>шт.</t>
        </is>
      </c>
      <c r="F34" s="5" t="inlineStr">
        <is>
          <t>допущение; для сравнения: активные пользователи ИИ обращаются ~17 раз/мес (Авито Работа)</t>
        </is>
      </c>
    </row>
    <row r="35">
      <c r="A35" s="5" t="inlineStr">
        <is>
          <t>Токенов на прочий запрос (вход + выход)</t>
        </is>
      </c>
      <c r="B35" s="6" t="n">
        <v>8600</v>
      </c>
      <c r="C35" s="6" t="n">
        <v>8600</v>
      </c>
      <c r="D35" s="6" t="n">
        <v>8600</v>
      </c>
      <c r="E35" s="5" t="inlineStr">
        <is>
          <t>ток.</t>
        </is>
      </c>
      <c r="F35" s="5" t="inlineStr">
        <is>
          <t>допущение</t>
        </is>
      </c>
    </row>
    <row r="36">
      <c r="A36" s="5" t="inlineStr">
        <is>
          <t>Нагрузка бесплатных подключивших относительно платящих</t>
        </is>
      </c>
      <c r="B36" s="7" t="n">
        <v>0.25</v>
      </c>
      <c r="C36" s="7" t="n">
        <v>0.15</v>
      </c>
      <c r="D36" s="7" t="n">
        <v>0.1</v>
      </c>
      <c r="E36" s="5" t="inlineStr">
        <is>
          <t>%</t>
        </is>
      </c>
      <c r="F36" s="5" t="inlineStr">
        <is>
          <t>допущение; задаётся лимитами бесплатного тарифа</t>
        </is>
      </c>
    </row>
    <row r="37">
      <c r="A37" s="5" t="inlineStr">
        <is>
          <t>Цена LLM по API (смесь моделей)</t>
        </is>
      </c>
      <c r="B37" s="6" t="n">
        <v>300</v>
      </c>
      <c r="C37" s="6" t="n">
        <v>130</v>
      </c>
      <c r="D37" s="6" t="n">
        <v>65</v>
      </c>
      <c r="E37" s="5" t="inlineStr">
        <is>
          <t>₽ за 1 млн ток.</t>
        </is>
      </c>
      <c r="F37" s="5" t="inlineStr">
        <is>
          <t>GigaChat Lite 65 ₽, GigaChat Pro 500 ₽, YandexGPT Lite 200 ₽, Pro 800 ₽ за 1 млн (РБК/Nodul, авг. 2026); смесь ~85% Lite + 15% Pro; уточнить после выбора LLM</t>
        </is>
      </c>
    </row>
    <row r="38">
      <c r="A38" s="3" t="inlineStr">
        <is>
          <t>LLM на своём железе (Qwen и др. открытые модели)</t>
        </is>
      </c>
      <c r="B38" s="4" t="n"/>
      <c r="C38" s="4" t="n"/>
      <c r="D38" s="4" t="n"/>
      <c r="E38" s="4" t="n"/>
      <c r="F38" s="4" t="n"/>
    </row>
    <row r="39">
      <c r="A39" s="5" t="inlineStr">
        <is>
          <t>Аренда одного GPU-сервера</t>
        </is>
      </c>
      <c r="B39" s="6" t="n">
        <v>410000</v>
      </c>
      <c r="C39" s="6" t="n">
        <v>80000</v>
      </c>
      <c r="D39" s="6" t="n">
        <v>35000</v>
      </c>
      <c r="E39" s="5" t="inlineStr">
        <is>
          <t>₽/мес</t>
        </is>
      </c>
      <c r="F39" s="5" t="inlineStr">
        <is>
          <t>cons: H100 80 ГБ (Cloud.ru 9,5 ₽/мин ≈ 410 тыс.), Qwen3-32B; base: A100 80 ГБ 80 тыс. (Selectel), модель 14B-класса; opt: RTX 4090 ≈ 35 тыс. (Timeweb), Qwen3-8B</t>
        </is>
      </c>
    </row>
    <row r="40">
      <c r="A40" s="5" t="inlineStr">
        <is>
          <t>Пропускная способность одного GPU</t>
        </is>
      </c>
      <c r="B40" s="6" t="n">
        <v>1800</v>
      </c>
      <c r="C40" s="6" t="n">
        <v>3000</v>
      </c>
      <c r="D40" s="6" t="n">
        <v>1700</v>
      </c>
      <c r="E40" s="5" t="inlineStr">
        <is>
          <t>ток./с</t>
        </is>
      </c>
      <c r="F40" s="5" t="inlineStr">
        <is>
          <t>допущение по бенчмаркам: Qwen3-32B на H100 ≈ 2 350 ток./с (GPUStack, vLLM), Qwen3-8B на A10 ≈ 850 ток./с (TrueFoundry); длинные входы (сводка) снижают</t>
        </is>
      </c>
    </row>
    <row r="41">
      <c r="A41" s="5" t="inlineStr">
        <is>
          <t>GigaChat3.1 Lightning (10B-A1.8B, MoE): аренда GPU-сервера</t>
        </is>
      </c>
      <c r="B41" s="6" t="n">
        <v>410000</v>
      </c>
      <c r="C41" s="6" t="n">
        <v>80000</v>
      </c>
      <c r="D41" s="6" t="n">
        <v>35000</v>
      </c>
      <c r="E41" s="5" t="inlineStr">
        <is>
          <t>₽/мес</t>
        </is>
      </c>
      <c r="F41" s="5" t="inlineStr">
        <is>
          <t>те же GPU, что выше: H100 / A100 80 ГБ / RTX 4090; веса fp8 ≈ 10 ГБ, влезают в любую; лицензия MIT</t>
        </is>
      </c>
    </row>
    <row r="42">
      <c r="A42" s="5" t="inlineStr">
        <is>
          <t>GigaChat3.1 Lightning: пропускная способность одного GPU</t>
        </is>
      </c>
      <c r="B42" s="6" t="n">
        <v>5300</v>
      </c>
      <c r="C42" s="6" t="n">
        <v>2200</v>
      </c>
      <c r="D42" s="6" t="n">
        <v>1600</v>
      </c>
      <c r="E42" s="5" t="inlineStr">
        <is>
          <t>ток./с</t>
        </is>
      </c>
      <c r="F42" s="5" t="inlineStr">
        <is>
          <t>опора: 6 883 ток./с (вход+выход) на H100, fp8, concurrency 32 (карточка ai-sage/GigaChat3.1-10B-A1.8B) −23% на длинные входы, как у Qwen; A100 (нет fp8) ≈ 0,5× H100, 4090 ≈ 0,3× — мои допущения, замерить</t>
        </is>
      </c>
    </row>
    <row r="43">
      <c r="A43" s="5" t="inlineStr">
        <is>
          <t>Средняя загрузка GPU</t>
        </is>
      </c>
      <c r="B43" s="7" t="n">
        <v>0.25</v>
      </c>
      <c r="C43" s="7" t="n">
        <v>0.3</v>
      </c>
      <c r="D43" s="7" t="n">
        <v>0.3</v>
      </c>
      <c r="E43" s="5" t="inlineStr">
        <is>
          <t>%</t>
        </is>
      </c>
      <c r="F43" s="5" t="inlineStr">
        <is>
          <t>допущение: пики нагрузки утром, ночью простой</t>
        </is>
      </c>
    </row>
    <row r="44">
      <c r="A44" s="5" t="inlineStr">
        <is>
          <t>Запас на отказоустойчивость и пики</t>
        </is>
      </c>
      <c r="B44" s="8" t="n">
        <v>1.3</v>
      </c>
      <c r="C44" s="8" t="n">
        <v>1.3</v>
      </c>
      <c r="D44" s="8" t="n">
        <v>1.3</v>
      </c>
      <c r="E44" s="5" t="inlineStr">
        <is>
          <t>×</t>
        </is>
      </c>
      <c r="F44" s="5" t="inlineStr">
        <is>
          <t>допущение</t>
        </is>
      </c>
    </row>
    <row r="45">
      <c r="A45" s="5" t="inlineStr">
        <is>
          <t>MLOps-инженер для своей инфраструктуры</t>
        </is>
      </c>
      <c r="B45" s="6" t="n">
        <v>150000</v>
      </c>
      <c r="C45" s="6" t="n">
        <v>150000</v>
      </c>
      <c r="D45" s="6" t="n">
        <v>150000</v>
      </c>
      <c r="E45" s="5" t="inlineStr">
        <is>
          <t>₽/мес</t>
        </is>
      </c>
      <c r="F45" s="5" t="inlineStr">
        <is>
          <t>допущение (~0,5 ставки)</t>
        </is>
      </c>
    </row>
    <row r="46">
      <c r="A46" s="3" t="inlineStr">
        <is>
          <t>Расходы</t>
        </is>
      </c>
      <c r="B46" s="4" t="n"/>
      <c r="C46" s="4" t="n"/>
      <c r="D46" s="4" t="n"/>
      <c r="E46" s="4" t="n"/>
      <c r="F46" s="4" t="n"/>
    </row>
    <row r="47">
      <c r="A47" s="5" t="inlineStr">
        <is>
          <t>Хостинг в РФ, БД, очереди (постоянно)</t>
        </is>
      </c>
      <c r="B47" s="6" t="n">
        <v>50000</v>
      </c>
      <c r="C47" s="6" t="n">
        <v>50000</v>
      </c>
      <c r="D47" s="6" t="n">
        <v>50000</v>
      </c>
      <c r="E47" s="5" t="inlineStr">
        <is>
          <t>₽/мес</t>
        </is>
      </c>
      <c r="F47" s="5" t="inlineStr">
        <is>
          <t>допущение</t>
        </is>
      </c>
    </row>
    <row r="48">
      <c r="A48" s="5" t="inlineStr">
        <is>
          <t>Инфраструктура на одного подключившего</t>
        </is>
      </c>
      <c r="B48" s="8" t="n">
        <v>1.5</v>
      </c>
      <c r="C48" s="8" t="n">
        <v>1</v>
      </c>
      <c r="D48" s="8" t="n">
        <v>0.7</v>
      </c>
      <c r="E48" s="5" t="inlineStr">
        <is>
          <t>₽/мес</t>
        </is>
      </c>
      <c r="F48" s="5" t="inlineStr">
        <is>
          <t>допущение (хранение токенов, опрос IMAP)</t>
        </is>
      </c>
    </row>
    <row r="49">
      <c r="A49" s="5" t="inlineStr">
        <is>
          <t>Юрист и документы по 152-ФЗ (разово)</t>
        </is>
      </c>
      <c r="B49" s="6" t="n">
        <v>500000</v>
      </c>
      <c r="C49" s="6" t="n">
        <v>500000</v>
      </c>
      <c r="D49" s="6" t="n">
        <v>500000</v>
      </c>
      <c r="E49" s="5" t="inlineStr">
        <is>
          <t>₽</t>
        </is>
      </c>
      <c r="F49" s="5" t="inlineStr">
        <is>
          <t>допущение; амортизируем на 12 мес.</t>
        </is>
      </c>
    </row>
    <row r="50">
      <c r="A50" s="5" t="inlineStr">
        <is>
          <t>Команда разработки и поддержки</t>
        </is>
      </c>
      <c r="B50" s="6" t="n">
        <v>300000</v>
      </c>
      <c r="C50" s="6" t="n">
        <v>300000</v>
      </c>
      <c r="D50" s="6" t="n">
        <v>300000</v>
      </c>
      <c r="E50" s="5" t="inlineStr">
        <is>
          <t>₽/мес</t>
        </is>
      </c>
      <c r="F50" s="5" t="inlineStr">
        <is>
          <t>допущение (~3 человека); для «без учёта труда» обнулить</t>
        </is>
      </c>
    </row>
    <row r="51">
      <c r="A51" s="5" t="inlineStr">
        <is>
          <t>Привлечение одного подключившего</t>
        </is>
      </c>
      <c r="B51" s="6" t="n">
        <v>60</v>
      </c>
      <c r="C51" s="6" t="n">
        <v>30</v>
      </c>
      <c r="D51" s="6" t="n">
        <v>15</v>
      </c>
      <c r="E51" s="5" t="inlineStr">
        <is>
          <t>₽</t>
        </is>
      </c>
      <c r="F51" s="5" t="inlineStr">
        <is>
          <t>допущение; собственные каналы VK (баннеры в Почте и MAX)</t>
        </is>
      </c>
    </row>
    <row r="52">
      <c r="A52" s="5" t="inlineStr">
        <is>
          <t>Комиссия платёжного сервиса</t>
        </is>
      </c>
      <c r="B52" s="7" t="n">
        <v>0.05</v>
      </c>
      <c r="C52" s="7" t="n">
        <v>0.05</v>
      </c>
      <c r="D52" s="7" t="n">
        <v>0.05</v>
      </c>
      <c r="E52" s="5" t="inlineStr">
        <is>
          <t>%</t>
        </is>
      </c>
      <c r="F52" s="5" t="inlineStr">
        <is>
          <t>допущение</t>
        </is>
      </c>
    </row>
    <row r="53">
      <c r="A53" s="5" t="inlineStr">
        <is>
          <t>Налоги с выручки</t>
        </is>
      </c>
      <c r="B53" s="7" t="n">
        <v>0.06</v>
      </c>
      <c r="C53" s="7" t="n">
        <v>0.06</v>
      </c>
      <c r="D53" s="7" t="n">
        <v>0.06</v>
      </c>
      <c r="E53" s="5" t="inlineStr">
        <is>
          <t>%</t>
        </is>
      </c>
      <c r="F53" s="5" t="inlineStr">
        <is>
          <t>допущение (УСН 6% с доходов; для юрлица уточнить)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0" customWidth="1" min="5" max="5"/>
    <col width="62" customWidth="1" min="6" max="6"/>
  </cols>
  <sheetData>
    <row r="1">
      <c r="A1" s="1" t="inlineStr">
        <is>
          <t>Расчёт эффектов (формулы, пересчитываются от листа «Допущения»)</t>
        </is>
      </c>
    </row>
    <row r="3">
      <c r="A3" s="2" t="inlineStr">
        <is>
          <t>Показатель</t>
        </is>
      </c>
      <c r="B3" s="2" t="inlineStr">
        <is>
          <t>Консервативно</t>
        </is>
      </c>
      <c r="C3" s="2" t="inlineStr">
        <is>
          <t>Базово</t>
        </is>
      </c>
      <c r="D3" s="2" t="inlineStr">
        <is>
          <t>Оптимистично</t>
        </is>
      </c>
      <c r="E3" s="2" t="inlineStr">
        <is>
          <t>Ед.</t>
        </is>
      </c>
      <c r="F3" t="inlineStr">
        <is>
          <t>Как считается</t>
        </is>
      </c>
    </row>
    <row r="4">
      <c r="A4" s="3" t="inlineStr">
        <is>
          <t>Аудитория (потенциал)</t>
        </is>
      </c>
      <c r="B4" s="4" t="n"/>
      <c r="C4" s="4" t="n"/>
      <c r="D4" s="4" t="n"/>
      <c r="E4" s="4" t="n"/>
      <c r="F4" s="4" t="n"/>
    </row>
    <row r="5">
      <c r="A5" s="5" t="inlineStr">
        <is>
          <t>Студенты на Mail</t>
        </is>
      </c>
      <c r="B5" s="11">
        <f>Допущения!B9*Допущения!B7</f>
        <v/>
      </c>
      <c r="C5" s="11">
        <f>Допущения!C9*Допущения!C7</f>
        <v/>
      </c>
      <c r="D5" s="11">
        <f>Допущения!D9*Допущения!D7</f>
        <v/>
      </c>
      <c r="E5" s="5" t="inlineStr">
        <is>
          <t>чел.</t>
        </is>
      </c>
      <c r="F5" s="5" t="inlineStr">
        <is>
          <t>студенты × доля Mail</t>
        </is>
      </c>
    </row>
    <row r="6">
      <c r="A6" s="5" t="inlineStr">
        <is>
          <t>Специалисты на Mail</t>
        </is>
      </c>
      <c r="B6" s="11">
        <f>Допущения!B10*Допущения!B11*Допущения!B7</f>
        <v/>
      </c>
      <c r="C6" s="11">
        <f>Допущения!C10*Допущения!C11*Допущения!C7</f>
        <v/>
      </c>
      <c r="D6" s="11">
        <f>Допущения!D10*Допущения!D11*Допущения!D7</f>
        <v/>
      </c>
      <c r="E6" s="5" t="inlineStr">
        <is>
          <t>чел.</t>
        </is>
      </c>
      <c r="F6" s="5" t="inlineStr">
        <is>
          <t>занятые × доля специалистов × доля Mail</t>
        </is>
      </c>
    </row>
    <row r="7">
      <c r="A7" s="5" t="inlineStr">
        <is>
          <t>Предприниматели на Mail</t>
        </is>
      </c>
      <c r="B7" s="11">
        <f>Допущения!B12*Допущения!B7</f>
        <v/>
      </c>
      <c r="C7" s="11">
        <f>Допущения!C12*Допущения!C7</f>
        <v/>
      </c>
      <c r="D7" s="11">
        <f>Допущения!D12*Допущения!D7</f>
        <v/>
      </c>
      <c r="E7" s="5" t="inlineStr">
        <is>
          <t>чел.</t>
        </is>
      </c>
      <c r="F7" s="5" t="inlineStr">
        <is>
          <t>самозанятые и ИП × доля Mail</t>
        </is>
      </c>
    </row>
    <row r="8">
      <c r="A8" s="5" t="inlineStr">
        <is>
          <t>Личные пользователи на Mail</t>
        </is>
      </c>
      <c r="B8" s="11">
        <f>MAX(0,Допущения!B6-B5-B6-B7)</f>
        <v/>
      </c>
      <c r="C8" s="11">
        <f>MAX(0,Допущения!C6-C5-C6-C7)</f>
        <v/>
      </c>
      <c r="D8" s="11">
        <f>MAX(0,Допущения!D6-D5-D6-D7)</f>
        <v/>
      </c>
      <c r="E8" s="5" t="inlineStr">
        <is>
          <t>чел.</t>
        </is>
      </c>
      <c r="F8" s="5" t="inlineStr">
        <is>
          <t>аудитория Mail за вычетом трёх сегментов (пересечения учтены вычитанием)</t>
        </is>
      </c>
    </row>
    <row r="9">
      <c r="A9" s="5" t="inlineStr">
        <is>
          <t>Аудитория Mail всего (TAM)</t>
        </is>
      </c>
      <c r="B9" s="12">
        <f>B8+B5+B6+B7</f>
        <v/>
      </c>
      <c r="C9" s="12">
        <f>C8+C5+C6+C7</f>
        <v/>
      </c>
      <c r="D9" s="12">
        <f>D8+D5+D6+D7</f>
        <v/>
      </c>
      <c r="E9" s="5" t="inlineStr">
        <is>
          <t>чел.</t>
        </is>
      </c>
      <c r="F9" s="5" t="inlineStr"/>
    </row>
    <row r="10">
      <c r="A10" s="5" t="inlineStr">
        <is>
          <t>Из них активны в MAX/VK (SAM)</t>
        </is>
      </c>
      <c r="B10" s="12">
        <f>B9*Допущения!B8</f>
        <v/>
      </c>
      <c r="C10" s="12">
        <f>C9*Допущения!C8</f>
        <v/>
      </c>
      <c r="D10" s="12">
        <f>D9*Допущения!D8</f>
        <v/>
      </c>
      <c r="E10" s="5" t="inlineStr">
        <is>
          <t>чел.</t>
        </is>
      </c>
      <c r="F10" s="5" t="inlineStr">
        <is>
          <t>TAM × доля активных в мессенджере</t>
        </is>
      </c>
    </row>
    <row r="11">
      <c r="A11" s="3" t="inlineStr">
        <is>
          <t>Воронка за 12 месяцев</t>
        </is>
      </c>
      <c r="B11" s="4" t="n"/>
      <c r="C11" s="4" t="n"/>
      <c r="D11" s="4" t="n"/>
      <c r="E11" s="4" t="n"/>
      <c r="F11" s="4" t="n"/>
    </row>
    <row r="12">
      <c r="A12" s="5" t="inlineStr">
        <is>
          <t>Охвачено (узнали о боте)</t>
        </is>
      </c>
      <c r="B12" s="11">
        <f>B10*Допущения!B15</f>
        <v/>
      </c>
      <c r="C12" s="11">
        <f>C10*Допущения!C15</f>
        <v/>
      </c>
      <c r="D12" s="11">
        <f>D10*Допущения!D15</f>
        <v/>
      </c>
      <c r="E12" s="5" t="inlineStr">
        <is>
          <t>чел.</t>
        </is>
      </c>
      <c r="F12" s="5" t="inlineStr">
        <is>
          <t>SAM × охват</t>
        </is>
      </c>
    </row>
    <row r="13">
      <c r="A13" s="5" t="inlineStr">
        <is>
          <t>Подключили: Личные</t>
        </is>
      </c>
      <c r="B13" s="11">
        <f>B8*Допущения!B8*Допущения!B15*Допущения!B19*Допущения!B16</f>
        <v/>
      </c>
      <c r="C13" s="11">
        <f>C8*Допущения!C8*Допущения!C15*Допущения!C19*Допущения!C16</f>
        <v/>
      </c>
      <c r="D13" s="11">
        <f>D8*Допущения!D8*Допущения!D15*Допущения!D19*Допущения!D16</f>
        <v/>
      </c>
      <c r="E13" s="5" t="inlineStr">
        <is>
          <t>чел.</t>
        </is>
      </c>
      <c r="F13" s="5" t="inlineStr">
        <is>
          <t>аудитория сегмента × активные × охват × подключение × множитель</t>
        </is>
      </c>
    </row>
    <row r="14">
      <c r="A14" s="5" t="inlineStr">
        <is>
          <t>Платят: Личные</t>
        </is>
      </c>
      <c r="B14" s="11">
        <f>B13*Допущения!B20*Допущения!B17</f>
        <v/>
      </c>
      <c r="C14" s="11">
        <f>C13*Допущения!C20*Допущения!C17</f>
        <v/>
      </c>
      <c r="D14" s="11">
        <f>D13*Допущения!D20*Допущения!D17</f>
        <v/>
      </c>
      <c r="E14" s="5" t="inlineStr">
        <is>
          <t>чел.</t>
        </is>
      </c>
      <c r="F14" s="5" t="inlineStr">
        <is>
          <t>подключившие × конверсия в оплату × множитель</t>
        </is>
      </c>
    </row>
    <row r="15">
      <c r="A15" s="5" t="inlineStr">
        <is>
          <t>Подключили: Студенты</t>
        </is>
      </c>
      <c r="B15" s="11">
        <f>B5*Допущения!B8*Допущения!B15*Допущения!B22*Допущения!B16</f>
        <v/>
      </c>
      <c r="C15" s="11">
        <f>C5*Допущения!C8*Допущения!C15*Допущения!C22*Допущения!C16</f>
        <v/>
      </c>
      <c r="D15" s="11">
        <f>D5*Допущения!D8*Допущения!D15*Допущения!D22*Допущения!D16</f>
        <v/>
      </c>
      <c r="E15" s="5" t="inlineStr">
        <is>
          <t>чел.</t>
        </is>
      </c>
      <c r="F15" s="5" t="inlineStr">
        <is>
          <t>аудитория сегмента × активные × охват × подключение × множитель</t>
        </is>
      </c>
    </row>
    <row r="16">
      <c r="A16" s="5" t="inlineStr">
        <is>
          <t>Платят: Студенты</t>
        </is>
      </c>
      <c r="B16" s="11">
        <f>B15*Допущения!B23*Допущения!B17</f>
        <v/>
      </c>
      <c r="C16" s="11">
        <f>C15*Допущения!C23*Допущения!C17</f>
        <v/>
      </c>
      <c r="D16" s="11">
        <f>D15*Допущения!D23*Допущения!D17</f>
        <v/>
      </c>
      <c r="E16" s="5" t="inlineStr">
        <is>
          <t>чел.</t>
        </is>
      </c>
      <c r="F16" s="5" t="inlineStr">
        <is>
          <t>подключившие × конверсия в оплату × множитель</t>
        </is>
      </c>
    </row>
    <row r="17">
      <c r="A17" s="5" t="inlineStr">
        <is>
          <t>Подключили: Специалисты</t>
        </is>
      </c>
      <c r="B17" s="11">
        <f>B6*Допущения!B8*Допущения!B15*Допущения!B25*Допущения!B16</f>
        <v/>
      </c>
      <c r="C17" s="11">
        <f>C6*Допущения!C8*Допущения!C15*Допущения!C25*Допущения!C16</f>
        <v/>
      </c>
      <c r="D17" s="11">
        <f>D6*Допущения!D8*Допущения!D15*Допущения!D25*Допущения!D16</f>
        <v/>
      </c>
      <c r="E17" s="5" t="inlineStr">
        <is>
          <t>чел.</t>
        </is>
      </c>
      <c r="F17" s="5" t="inlineStr">
        <is>
          <t>аудитория сегмента × активные × охват × подключение × множитель</t>
        </is>
      </c>
    </row>
    <row r="18">
      <c r="A18" s="5" t="inlineStr">
        <is>
          <t>Платят: Специалисты</t>
        </is>
      </c>
      <c r="B18" s="11">
        <f>B17*Допущения!B26*Допущения!B17</f>
        <v/>
      </c>
      <c r="C18" s="11">
        <f>C17*Допущения!C26*Допущения!C17</f>
        <v/>
      </c>
      <c r="D18" s="11">
        <f>D17*Допущения!D26*Допущения!D17</f>
        <v/>
      </c>
      <c r="E18" s="5" t="inlineStr">
        <is>
          <t>чел.</t>
        </is>
      </c>
      <c r="F18" s="5" t="inlineStr">
        <is>
          <t>подключившие × конверсия в оплату × множитель</t>
        </is>
      </c>
    </row>
    <row r="19">
      <c r="A19" s="5" t="inlineStr">
        <is>
          <t>Подключили: Предприниматели/самозанятые</t>
        </is>
      </c>
      <c r="B19" s="11">
        <f>B7*Допущения!B8*Допущения!B15*Допущения!B28*Допущения!B16</f>
        <v/>
      </c>
      <c r="C19" s="11">
        <f>C7*Допущения!C8*Допущения!C15*Допущения!C28*Допущения!C16</f>
        <v/>
      </c>
      <c r="D19" s="11">
        <f>D7*Допущения!D8*Допущения!D15*Допущения!D28*Допущения!D16</f>
        <v/>
      </c>
      <c r="E19" s="5" t="inlineStr">
        <is>
          <t>чел.</t>
        </is>
      </c>
      <c r="F19" s="5" t="inlineStr">
        <is>
          <t>аудитория сегмента × активные × охват × подключение × множитель</t>
        </is>
      </c>
    </row>
    <row r="20">
      <c r="A20" s="5" t="inlineStr">
        <is>
          <t>Платят: Предприниматели/самозанятые</t>
        </is>
      </c>
      <c r="B20" s="11">
        <f>B19*Допущения!B29*Допущения!B17</f>
        <v/>
      </c>
      <c r="C20" s="11">
        <f>C19*Допущения!C29*Допущения!C17</f>
        <v/>
      </c>
      <c r="D20" s="11">
        <f>D19*Допущения!D29*Допущения!D17</f>
        <v/>
      </c>
      <c r="E20" s="5" t="inlineStr">
        <is>
          <t>чел.</t>
        </is>
      </c>
      <c r="F20" s="5" t="inlineStr">
        <is>
          <t>подключившие × конверсия в оплату × множитель</t>
        </is>
      </c>
    </row>
    <row r="21">
      <c r="A21" s="5" t="inlineStr">
        <is>
          <t>Подключили ящик, всего</t>
        </is>
      </c>
      <c r="B21" s="12">
        <f>B13+B15+B17+B19</f>
        <v/>
      </c>
      <c r="C21" s="12">
        <f>C13+C15+C17+C19</f>
        <v/>
      </c>
      <c r="D21" s="12">
        <f>D13+D15+D17+D19</f>
        <v/>
      </c>
      <c r="E21" s="5" t="inlineStr">
        <is>
          <t>чел.</t>
        </is>
      </c>
      <c r="F21" s="5" t="inlineStr"/>
    </row>
    <row r="22">
      <c r="A22" s="5" t="inlineStr">
        <is>
          <t>Платящие, всего (SOM)</t>
        </is>
      </c>
      <c r="B22" s="12">
        <f>B14+B16+B18+B20</f>
        <v/>
      </c>
      <c r="C22" s="12">
        <f>C14+C16+C18+C20</f>
        <v/>
      </c>
      <c r="D22" s="12">
        <f>D14+D16+D18+D20</f>
        <v/>
      </c>
      <c r="E22" s="5" t="inlineStr">
        <is>
          <t>чел.</t>
        </is>
      </c>
      <c r="F22" s="5" t="inlineStr"/>
    </row>
    <row r="23">
      <c r="A23" s="5" t="inlineStr">
        <is>
          <t>Подключили, но не платят</t>
        </is>
      </c>
      <c r="B23" s="11">
        <f>B21-B22</f>
        <v/>
      </c>
      <c r="C23" s="11">
        <f>C21-C22</f>
        <v/>
      </c>
      <c r="D23" s="11">
        <f>D21-D22</f>
        <v/>
      </c>
      <c r="E23" s="5" t="inlineStr">
        <is>
          <t>чел.</t>
        </is>
      </c>
      <c r="F23" s="5" t="inlineStr"/>
    </row>
    <row r="24">
      <c r="A24" s="5" t="inlineStr">
        <is>
          <t>Сквозная конверсия: платящие ÷ SAM</t>
        </is>
      </c>
      <c r="B24" s="13">
        <f>B22/B10</f>
        <v/>
      </c>
      <c r="C24" s="13">
        <f>C22/C10</f>
        <v/>
      </c>
      <c r="D24" s="13">
        <f>D22/D10</f>
        <v/>
      </c>
      <c r="E24" s="5" t="inlineStr">
        <is>
          <t>%</t>
        </is>
      </c>
      <c r="F24" s="5" t="inlineStr"/>
    </row>
    <row r="25">
      <c r="A25" s="3" t="inlineStr">
        <is>
          <t>Выручка</t>
        </is>
      </c>
      <c r="B25" s="4" t="n"/>
      <c r="C25" s="4" t="n"/>
      <c r="D25" s="4" t="n"/>
      <c r="E25" s="4" t="n"/>
      <c r="F25" s="4" t="n"/>
    </row>
    <row r="26">
      <c r="A26" s="5" t="inlineStr">
        <is>
          <t>Выручка: Личные</t>
        </is>
      </c>
      <c r="B26" s="11">
        <f>B14*Допущения!B21</f>
        <v/>
      </c>
      <c r="C26" s="11">
        <f>C14*Допущения!C21</f>
        <v/>
      </c>
      <c r="D26" s="11">
        <f>D14*Допущения!D21</f>
        <v/>
      </c>
      <c r="E26" s="5" t="inlineStr">
        <is>
          <t>₽/мес</t>
        </is>
      </c>
      <c r="F26" s="5" t="inlineStr">
        <is>
          <t>платящие × цена</t>
        </is>
      </c>
    </row>
    <row r="27">
      <c r="A27" s="5" t="inlineStr">
        <is>
          <t>Выручка: Студенты</t>
        </is>
      </c>
      <c r="B27" s="11">
        <f>B16*Допущения!B24</f>
        <v/>
      </c>
      <c r="C27" s="11">
        <f>C16*Допущения!C24</f>
        <v/>
      </c>
      <c r="D27" s="11">
        <f>D16*Допущения!D24</f>
        <v/>
      </c>
      <c r="E27" s="5" t="inlineStr">
        <is>
          <t>₽/мес</t>
        </is>
      </c>
      <c r="F27" s="5" t="inlineStr">
        <is>
          <t>платящие × цена</t>
        </is>
      </c>
    </row>
    <row r="28">
      <c r="A28" s="5" t="inlineStr">
        <is>
          <t>Выручка: Специалисты</t>
        </is>
      </c>
      <c r="B28" s="11">
        <f>B18*Допущения!B27</f>
        <v/>
      </c>
      <c r="C28" s="11">
        <f>C18*Допущения!C27</f>
        <v/>
      </c>
      <c r="D28" s="11">
        <f>D18*Допущения!D27</f>
        <v/>
      </c>
      <c r="E28" s="5" t="inlineStr">
        <is>
          <t>₽/мес</t>
        </is>
      </c>
      <c r="F28" s="5" t="inlineStr">
        <is>
          <t>платящие × цена</t>
        </is>
      </c>
    </row>
    <row r="29">
      <c r="A29" s="5" t="inlineStr">
        <is>
          <t>Выручка: Предприниматели/самозанятые</t>
        </is>
      </c>
      <c r="B29" s="11">
        <f>B20*Допущения!B30</f>
        <v/>
      </c>
      <c r="C29" s="11">
        <f>C20*Допущения!C30</f>
        <v/>
      </c>
      <c r="D29" s="11">
        <f>D20*Допущения!D30</f>
        <v/>
      </c>
      <c r="E29" s="5" t="inlineStr">
        <is>
          <t>₽/мес</t>
        </is>
      </c>
      <c r="F29" s="5" t="inlineStr">
        <is>
          <t>платящие × цена</t>
        </is>
      </c>
    </row>
    <row r="30">
      <c r="A30" s="5" t="inlineStr">
        <is>
          <t>Выручка, ₽/мес (к концу 1-го года)</t>
        </is>
      </c>
      <c r="B30" s="12">
        <f>B26+B27+B28+B29</f>
        <v/>
      </c>
      <c r="C30" s="12">
        <f>C26+C27+C28+C29</f>
        <v/>
      </c>
      <c r="D30" s="12">
        <f>D26+D27+D28+D29</f>
        <v/>
      </c>
      <c r="E30" s="5" t="inlineStr">
        <is>
          <t>₽/мес</t>
        </is>
      </c>
      <c r="F30" s="5" t="inlineStr"/>
    </row>
    <row r="31">
      <c r="A31" s="5" t="inlineStr">
        <is>
          <t>Выручка в годовом выражении</t>
        </is>
      </c>
      <c r="B31" s="11">
        <f>B30*12</f>
        <v/>
      </c>
      <c r="C31" s="11">
        <f>C30*12</f>
        <v/>
      </c>
      <c r="D31" s="11">
        <f>D30*12</f>
        <v/>
      </c>
      <c r="E31" s="5" t="inlineStr">
        <is>
          <t>₽/год</t>
        </is>
      </c>
      <c r="F31" s="5" t="inlineStr">
        <is>
          <t>месячная × 12</t>
        </is>
      </c>
    </row>
    <row r="32">
      <c r="A32" s="5" t="inlineStr">
        <is>
          <t>Потенциал при 100% охвате, ₽/мес</t>
        </is>
      </c>
      <c r="B32" s="11">
        <f>B8*Допущения!B8*Допущения!B19*Допущения!B16*Допущения!B20*Допущения!B17*Допущения!B21+B5*Допущения!B8*Допущения!B22*Допущения!B16*Допущения!B23*Допущения!B17*Допущения!B24+B6*Допущения!B8*Допущения!B25*Допущения!B16*Допущения!B26*Допущения!B17*Допущения!B27+B7*Допущения!B8*Допущения!B28*Допущения!B16*Допущения!B29*Допущения!B17*Допущения!B30</f>
        <v/>
      </c>
      <c r="C32" s="11">
        <f>C8*Допущения!C8*Допущения!C19*Допущения!C16*Допущения!C20*Допущения!C17*Допущения!C21+C5*Допущения!C8*Допущения!C22*Допущения!C16*Допущения!C23*Допущения!C17*Допущения!C24+C6*Допущения!C8*Допущения!C25*Допущения!C16*Допущения!C26*Допущения!C17*Допущения!C27+C7*Допущения!C8*Допущения!C28*Допущения!C16*Допущения!C29*Допущения!C17*Допущения!C30</f>
        <v/>
      </c>
      <c r="D32" s="11">
        <f>D8*Допущения!D8*Допущения!D19*Допущения!D16*Допущения!D20*Допущения!D17*Допущения!D21+D5*Допущения!D8*Допущения!D22*Допущения!D16*Допущения!D23*Допущения!D17*Допущения!D24+D6*Допущения!D8*Допущения!D25*Допущения!D16*Допущения!D26*Допущения!D17*Допущения!D27+D7*Допущения!D8*Допущения!D28*Допущения!D16*Допущения!D29*Допущения!D17*Допущения!D30</f>
        <v/>
      </c>
      <c r="E32" s="5" t="inlineStr">
        <is>
          <t>₽/мес</t>
        </is>
      </c>
      <c r="F32" s="5" t="inlineStr">
        <is>
          <t>верхняя граница: если бы о боте узнали все активные</t>
        </is>
      </c>
    </row>
    <row r="33">
      <c r="A33" s="3" t="inlineStr">
        <is>
          <t>Себестоимость LLM: API и своё железо</t>
        </is>
      </c>
      <c r="B33" s="4" t="n"/>
      <c r="C33" s="4" t="n"/>
      <c r="D33" s="4" t="n"/>
      <c r="E33" s="4" t="n"/>
      <c r="F33" s="4" t="n"/>
    </row>
    <row r="34">
      <c r="A34" s="5" t="inlineStr">
        <is>
          <t>Токенов на одного активного в месяц</t>
        </is>
      </c>
      <c r="B34" s="11">
        <f>Допущения!B32*Допущения!B33+Допущения!B34*Допущения!B35</f>
        <v/>
      </c>
      <c r="C34" s="11">
        <f>Допущения!C32*Допущения!C33+Допущения!C34*Допущения!C35</f>
        <v/>
      </c>
      <c r="D34" s="11">
        <f>Допущения!D32*Допущения!D33+Допущения!D34*Допущения!D35</f>
        <v/>
      </c>
      <c r="E34" s="5" t="inlineStr">
        <is>
          <t>ток.</t>
        </is>
      </c>
      <c r="F34" s="5" t="inlineStr">
        <is>
          <t>сводки + прочие запросы</t>
        </is>
      </c>
    </row>
    <row r="35">
      <c r="A35" s="5" t="inlineStr">
        <is>
          <t>Нагрузка в «платящих-эквивалентах»</t>
        </is>
      </c>
      <c r="B35" s="11">
        <f>B22+B23*Допущения!B36</f>
        <v/>
      </c>
      <c r="C35" s="11">
        <f>C22+C23*Допущения!C36</f>
        <v/>
      </c>
      <c r="D35" s="11">
        <f>D22+D23*Допущения!D36</f>
        <v/>
      </c>
      <c r="E35" s="5" t="inlineStr">
        <is>
          <t>чел.</t>
        </is>
      </c>
      <c r="F35" s="5" t="inlineStr">
        <is>
          <t>платящие + бесплатные × их нагрузка</t>
        </is>
      </c>
    </row>
    <row r="36">
      <c r="A36" s="5" t="inlineStr">
        <is>
          <t>Токенов в месяц всего, млрд</t>
        </is>
      </c>
      <c r="B36" s="14">
        <f>B35*B34/1000000000</f>
        <v/>
      </c>
      <c r="C36" s="14">
        <f>C35*C34/1000000000</f>
        <v/>
      </c>
      <c r="D36" s="14">
        <f>D35*D34/1000000000</f>
        <v/>
      </c>
      <c r="E36" s="5" t="inlineStr">
        <is>
          <t>млрд</t>
        </is>
      </c>
      <c r="F36" s="5" t="inlineStr"/>
    </row>
    <row r="37">
      <c r="A37" s="5" t="inlineStr">
        <is>
          <t>LLM по API, ₽/мес</t>
        </is>
      </c>
      <c r="B37" s="12">
        <f>B35*B34*Допущения!B37/1000000</f>
        <v/>
      </c>
      <c r="C37" s="12">
        <f>C35*C34*Допущения!C37/1000000</f>
        <v/>
      </c>
      <c r="D37" s="12">
        <f>D35*D34*Допущения!D37/1000000</f>
        <v/>
      </c>
      <c r="E37" s="5" t="inlineStr">
        <is>
          <t>₽/мес</t>
        </is>
      </c>
      <c r="F37" s="5" t="inlineStr">
        <is>
          <t>токены × цена за 1 млн</t>
        </is>
      </c>
    </row>
    <row r="38">
      <c r="A38" s="5" t="inlineStr">
        <is>
          <t>Нужно GPU (со своим железом)</t>
        </is>
      </c>
      <c r="B38" s="11">
        <f>ROUNDUP(B35*B34*Допущения!B44/(Допущения!B40*2592000*Допущения!B43),0)</f>
        <v/>
      </c>
      <c r="C38" s="11">
        <f>ROUNDUP(C35*C34*Допущения!C44/(Допущения!C40*2592000*Допущения!C43),0)</f>
        <v/>
      </c>
      <c r="D38" s="11">
        <f>ROUNDUP(D35*D34*Допущения!D44/(Допущения!D40*2592000*Допущения!D43),0)</f>
        <v/>
      </c>
      <c r="E38" s="5" t="inlineStr">
        <is>
          <t>шт.</t>
        </is>
      </c>
      <c r="F38" s="5" t="inlineStr">
        <is>
          <t>токены × запас ÷ (пропускная × секунд в месяце × загрузка)</t>
        </is>
      </c>
    </row>
    <row r="39">
      <c r="A39" s="5" t="inlineStr">
        <is>
          <t>LLM на своём железе, ₽/мес</t>
        </is>
      </c>
      <c r="B39" s="12">
        <f>B38*Допущения!B39+Допущения!B45</f>
        <v/>
      </c>
      <c r="C39" s="12">
        <f>C38*Допущения!C39+Допущения!C45</f>
        <v/>
      </c>
      <c r="D39" s="12">
        <f>D38*Допущения!D39+Допущения!D45</f>
        <v/>
      </c>
      <c r="E39" s="5" t="inlineStr">
        <is>
          <t>₽/мес</t>
        </is>
      </c>
      <c r="F39" s="5" t="inlineStr">
        <is>
          <t>GPU + MLOps</t>
        </is>
      </c>
    </row>
    <row r="40">
      <c r="A40" s="5" t="inlineStr">
        <is>
          <t>Нужно GPU (Lightning)</t>
        </is>
      </c>
      <c r="B40" s="11">
        <f>ROUNDUP(B35*B34*Допущения!B44/(Допущения!B42*2592000*Допущения!B43),0)</f>
        <v/>
      </c>
      <c r="C40" s="11">
        <f>ROUNDUP(C35*C34*Допущения!C44/(Допущения!C42*2592000*Допущения!C43),0)</f>
        <v/>
      </c>
      <c r="D40" s="11">
        <f>ROUNDUP(D35*D34*Допущения!D44/(Допущения!D42*2592000*Допущения!D43),0)</f>
        <v/>
      </c>
      <c r="E40" s="5" t="inlineStr">
        <is>
          <t>шт.</t>
        </is>
      </c>
      <c r="F40" s="5" t="inlineStr">
        <is>
          <t>как для Qwen, но с пропускной способностью Lightning</t>
        </is>
      </c>
    </row>
    <row r="41">
      <c r="A41" s="5" t="inlineStr">
        <is>
          <t>LLM на своём железе: Lightning, ₽/мес</t>
        </is>
      </c>
      <c r="B41" s="12">
        <f>B40*Допущения!B41+Допущения!B45</f>
        <v/>
      </c>
      <c r="C41" s="12">
        <f>C40*Допущения!C41+Допущения!C45</f>
        <v/>
      </c>
      <c r="D41" s="12">
        <f>D40*Допущения!D41+Допущения!D45</f>
        <v/>
      </c>
      <c r="E41" s="5" t="inlineStr">
        <is>
          <t>₽/мес</t>
        </is>
      </c>
      <c r="F41" s="5" t="inlineStr">
        <is>
          <t>GPU + MLOps; качество ниже 14B (по замерам Сбера ≈ Qwen3-4B), проверить в тесте сценариев</t>
        </is>
      </c>
    </row>
    <row r="42">
      <c r="A42" s="5" t="inlineStr">
        <is>
          <t>Эффективная цена токена, Lightning, ₽ за 1 млн</t>
        </is>
      </c>
      <c r="B42" s="11">
        <f>B41*1000000/(B35*B34)</f>
        <v/>
      </c>
      <c r="C42" s="11">
        <f>C41*1000000/(C35*C34)</f>
        <v/>
      </c>
      <c r="D42" s="11">
        <f>D41*1000000/(D35*D34)</f>
        <v/>
      </c>
      <c r="E42" s="5" t="inlineStr">
        <is>
          <t>₽</t>
        </is>
      </c>
      <c r="F42" s="5" t="inlineStr">
        <is>
          <t>для сравнения с API и Qwen</t>
        </is>
      </c>
    </row>
    <row r="43">
      <c r="A43" s="5" t="inlineStr">
        <is>
          <t>Эффективная цена токена на своём железе, ₽ за 1 млн</t>
        </is>
      </c>
      <c r="B43" s="11">
        <f>B39*1000000/(B35*B34)</f>
        <v/>
      </c>
      <c r="C43" s="11">
        <f>C39*1000000/(C35*C34)</f>
        <v/>
      </c>
      <c r="D43" s="11">
        <f>D39*1000000/(D35*D34)</f>
        <v/>
      </c>
      <c r="E43" s="5" t="inlineStr">
        <is>
          <t>₽</t>
        </is>
      </c>
      <c r="F43" s="5" t="inlineStr">
        <is>
          <t>для сравнения с API</t>
        </is>
      </c>
    </row>
    <row r="44">
      <c r="A44" s="3" t="inlineStr">
        <is>
          <t>Прочие расходы, ₽/мес</t>
        </is>
      </c>
      <c r="B44" s="4" t="n"/>
      <c r="C44" s="4" t="n"/>
      <c r="D44" s="4" t="n"/>
      <c r="E44" s="4" t="n"/>
      <c r="F44" s="4" t="n"/>
    </row>
    <row r="45">
      <c r="A45" s="5" t="inlineStr">
        <is>
          <t>Инфраструктура на пользователей</t>
        </is>
      </c>
      <c r="B45" s="11">
        <f>B21*Допущения!B48</f>
        <v/>
      </c>
      <c r="C45" s="11">
        <f>C21*Допущения!C48</f>
        <v/>
      </c>
      <c r="D45" s="11">
        <f>D21*Допущения!D48</f>
        <v/>
      </c>
      <c r="E45" s="5" t="inlineStr">
        <is>
          <t>₽/мес</t>
        </is>
      </c>
      <c r="F45" s="5" t="inlineStr"/>
    </row>
    <row r="46">
      <c r="A46" s="5" t="inlineStr">
        <is>
          <t>Привлечение (в среднем за год)</t>
        </is>
      </c>
      <c r="B46" s="11">
        <f>B21*Допущения!B51/12</f>
        <v/>
      </c>
      <c r="C46" s="11">
        <f>C21*Допущения!C51/12</f>
        <v/>
      </c>
      <c r="D46" s="11">
        <f>D21*Допущения!D51/12</f>
        <v/>
      </c>
      <c r="E46" s="5" t="inlineStr">
        <is>
          <t>₽/мес</t>
        </is>
      </c>
      <c r="F46" s="5" t="inlineStr">
        <is>
          <t>подключившие × CAC ÷ 12</t>
        </is>
      </c>
    </row>
    <row r="47">
      <c r="A47" s="5" t="inlineStr">
        <is>
          <t>Комиссия платёжного сервиса</t>
        </is>
      </c>
      <c r="B47" s="11">
        <f>B30*Допущения!B52</f>
        <v/>
      </c>
      <c r="C47" s="11">
        <f>C30*Допущения!C52</f>
        <v/>
      </c>
      <c r="D47" s="11">
        <f>D30*Допущения!D52</f>
        <v/>
      </c>
      <c r="E47" s="5" t="inlineStr">
        <is>
          <t>₽/мес</t>
        </is>
      </c>
      <c r="F47" s="5" t="inlineStr"/>
    </row>
    <row r="48">
      <c r="A48" s="5" t="inlineStr">
        <is>
          <t>Налоги</t>
        </is>
      </c>
      <c r="B48" s="11">
        <f>B30*Допущения!B53</f>
        <v/>
      </c>
      <c r="C48" s="11">
        <f>C30*Допущения!C53</f>
        <v/>
      </c>
      <c r="D48" s="11">
        <f>D30*Допущения!D53</f>
        <v/>
      </c>
      <c r="E48" s="5" t="inlineStr">
        <is>
          <t>₽/мес</t>
        </is>
      </c>
      <c r="F48" s="5" t="inlineStr"/>
    </row>
    <row r="49">
      <c r="A49" s="5" t="inlineStr">
        <is>
          <t>Постоянные: хостинг, юрист/12, команда</t>
        </is>
      </c>
      <c r="B49" s="11">
        <f>Допущения!B47+Допущения!B49/12+Допущения!B50</f>
        <v/>
      </c>
      <c r="C49" s="11">
        <f>Допущения!C47+Допущения!C49/12+Допущения!C50</f>
        <v/>
      </c>
      <c r="D49" s="11">
        <f>Допущения!D47+Допущения!D49/12+Допущения!D50</f>
        <v/>
      </c>
      <c r="E49" s="5" t="inlineStr">
        <is>
          <t>₽/мес</t>
        </is>
      </c>
      <c r="F49" s="5" t="inlineStr"/>
    </row>
    <row r="50">
      <c r="A50" s="5" t="inlineStr">
        <is>
          <t>Расходы без LLM</t>
        </is>
      </c>
      <c r="B50" s="11">
        <f>B45+B46+B47+B48+B49</f>
        <v/>
      </c>
      <c r="C50" s="11">
        <f>C45+C46+C47+C48+C49</f>
        <v/>
      </c>
      <c r="D50" s="11">
        <f>D45+D46+D47+D48+D49</f>
        <v/>
      </c>
      <c r="E50" s="5" t="inlineStr">
        <is>
          <t>₽/мес</t>
        </is>
      </c>
      <c r="F50" s="5" t="inlineStr"/>
    </row>
    <row r="51">
      <c r="A51" s="3" t="inlineStr">
        <is>
          <t>Результат</t>
        </is>
      </c>
      <c r="B51" s="4" t="n"/>
      <c r="C51" s="4" t="n"/>
      <c r="D51" s="4" t="n"/>
      <c r="E51" s="4" t="n"/>
      <c r="F51" s="4" t="n"/>
    </row>
    <row r="52">
      <c r="A52" s="5" t="inlineStr">
        <is>
          <t>Прибыль при API, ₽/мес</t>
        </is>
      </c>
      <c r="B52" s="15">
        <f>B30-B50-B37</f>
        <v/>
      </c>
      <c r="C52" s="15">
        <f>C30-C50-C37</f>
        <v/>
      </c>
      <c r="D52" s="15">
        <f>D30-D50-D37</f>
        <v/>
      </c>
      <c r="E52" s="5" t="inlineStr">
        <is>
          <t>₽/мес</t>
        </is>
      </c>
      <c r="F52" s="5" t="inlineStr">
        <is>
          <t>выручка − расходы без LLM − LLM по API</t>
        </is>
      </c>
    </row>
    <row r="53">
      <c r="A53" s="5" t="inlineStr">
        <is>
          <t>Прибыль на своём железе, ₽/мес</t>
        </is>
      </c>
      <c r="B53" s="15">
        <f>B30-B50-B39</f>
        <v/>
      </c>
      <c r="C53" s="15">
        <f>C30-C50-C39</f>
        <v/>
      </c>
      <c r="D53" s="15">
        <f>D30-D50-D39</f>
        <v/>
      </c>
      <c r="E53" s="5" t="inlineStr">
        <is>
          <t>₽/мес</t>
        </is>
      </c>
      <c r="F53" s="5" t="inlineStr">
        <is>
          <t>выручка − расходы без LLM − GPU и MLOps</t>
        </is>
      </c>
    </row>
    <row r="54">
      <c r="A54" s="5" t="inlineStr">
        <is>
          <t>Прибыль на своём железе, Lightning, ₽/мес</t>
        </is>
      </c>
      <c r="B54" s="15">
        <f>B30-B50-B41</f>
        <v/>
      </c>
      <c r="C54" s="15">
        <f>C30-C50-C41</f>
        <v/>
      </c>
      <c r="D54" s="15">
        <f>D30-D50-D41</f>
        <v/>
      </c>
      <c r="E54" s="5" t="inlineStr">
        <is>
          <t>₽/мес</t>
        </is>
      </c>
      <c r="F54" s="5" t="inlineStr">
        <is>
          <t>выручка − расходы без LLM − GPU и MLOps (Lightning)</t>
        </is>
      </c>
    </row>
    <row r="55">
      <c r="A55" s="5" t="inlineStr">
        <is>
          <t>Выгоднее</t>
        </is>
      </c>
      <c r="B55" s="16">
        <f>IF(AND(B52&gt;=B53,B52&gt;=B54),"API",IF(B53&gt;=B54,"Qwen (своё железо)","Lightning (своё железо)"))</f>
        <v/>
      </c>
      <c r="C55" s="16">
        <f>IF(AND(C52&gt;=C53,C52&gt;=C54),"API",IF(C53&gt;=C54,"Qwen (своё железо)","Lightning (своё железо)"))</f>
        <v/>
      </c>
      <c r="D55" s="16">
        <f>IF(AND(D52&gt;=D53,D52&gt;=D54),"API",IF(D53&gt;=D54,"Qwen (своё железо)","Lightning (своё железо)"))</f>
        <v/>
      </c>
      <c r="E55" s="5" t="inlineStr"/>
      <c r="F55" s="5" t="inlineStr">
        <is>
          <t>по прибыли; качество моделей разное, см. тест сценариев</t>
        </is>
      </c>
    </row>
    <row r="56">
      <c r="A56" s="5" t="inlineStr">
        <is>
          <t>Рентабельность при API</t>
        </is>
      </c>
      <c r="B56" s="17">
        <f>IF(B30=0,0,B52/B30)</f>
        <v/>
      </c>
      <c r="C56" s="17">
        <f>IF(C30=0,0,C52/C30)</f>
        <v/>
      </c>
      <c r="D56" s="17">
        <f>IF(D30=0,0,D52/D30)</f>
        <v/>
      </c>
      <c r="E56" s="5" t="inlineStr">
        <is>
          <t>%</t>
        </is>
      </c>
      <c r="F56" s="5" t="inlineStr"/>
    </row>
    <row r="57">
      <c r="A57" s="5" t="inlineStr">
        <is>
          <t>Рентабельность на своём железе</t>
        </is>
      </c>
      <c r="B57" s="17">
        <f>IF(B30=0,0,B53/B30)</f>
        <v/>
      </c>
      <c r="C57" s="17">
        <f>IF(C30=0,0,C53/C30)</f>
        <v/>
      </c>
      <c r="D57" s="17">
        <f>IF(D30=0,0,D53/D30)</f>
        <v/>
      </c>
      <c r="E57" s="5" t="inlineStr">
        <is>
          <t>%</t>
        </is>
      </c>
      <c r="F57" s="5" t="inlineStr"/>
    </row>
    <row r="58">
      <c r="A58" s="3" t="inlineStr">
        <is>
          <t>Юнит-экономика на одного платящего</t>
        </is>
      </c>
      <c r="B58" s="4" t="n"/>
      <c r="C58" s="4" t="n"/>
      <c r="D58" s="4" t="n"/>
      <c r="E58" s="4" t="n"/>
      <c r="F58" s="4" t="n"/>
    </row>
    <row r="59">
      <c r="A59" s="5" t="inlineStr">
        <is>
          <t>ARPPU, ₽/мес</t>
        </is>
      </c>
      <c r="B59" s="11">
        <f>B30/B22</f>
        <v/>
      </c>
      <c r="C59" s="11">
        <f>C30/C22</f>
        <v/>
      </c>
      <c r="D59" s="11">
        <f>D30/D22</f>
        <v/>
      </c>
      <c r="E59" s="5" t="inlineStr">
        <is>
          <t>₽/мес</t>
        </is>
      </c>
      <c r="F59" s="5" t="inlineStr">
        <is>
          <t>выручка ÷ платящие (смесь сегментов)</t>
        </is>
      </c>
    </row>
    <row r="60">
      <c r="A60" s="5" t="inlineStr">
        <is>
          <t>Переменные расходы при API</t>
        </is>
      </c>
      <c r="B60" s="11">
        <f>(B37+B45+B46+B47+B48)/B22</f>
        <v/>
      </c>
      <c r="C60" s="11">
        <f>(C37+C45+C46+C47+C48)/C22</f>
        <v/>
      </c>
      <c r="D60" s="11">
        <f>(D37+D45+D46+D47+D48)/D22</f>
        <v/>
      </c>
      <c r="E60" s="5" t="inlineStr">
        <is>
          <t>₽/мес</t>
        </is>
      </c>
      <c r="F60" s="5" t="inlineStr">
        <is>
          <t>LLM (вкл. бесплатных) + инфраструктура + привлечение + комиссия + налог</t>
        </is>
      </c>
    </row>
    <row r="61">
      <c r="A61" s="5" t="inlineStr">
        <is>
          <t>Переменные расходы на своём железе</t>
        </is>
      </c>
      <c r="B61" s="11">
        <f>(B38*Допущения!B39+B45+B46+B47+B48)/B22</f>
        <v/>
      </c>
      <c r="C61" s="11">
        <f>(C38*Допущения!C39+C45+C46+C47+C48)/C22</f>
        <v/>
      </c>
      <c r="D61" s="11">
        <f>(D38*Допущения!D39+D45+D46+D47+D48)/D22</f>
        <v/>
      </c>
      <c r="E61" s="5" t="inlineStr">
        <is>
          <t>₽/мес</t>
        </is>
      </c>
      <c r="F61" s="5" t="inlineStr">
        <is>
          <t>GPU вместо LLM по API</t>
        </is>
      </c>
    </row>
    <row r="62">
      <c r="A62" s="5" t="inlineStr">
        <is>
          <t>Вклад платящего при API</t>
        </is>
      </c>
      <c r="B62" s="15">
        <f>B59-B60</f>
        <v/>
      </c>
      <c r="C62" s="15">
        <f>C59-C60</f>
        <v/>
      </c>
      <c r="D62" s="15">
        <f>D59-D60</f>
        <v/>
      </c>
      <c r="E62" s="5" t="inlineStr">
        <is>
          <t>₽/мес</t>
        </is>
      </c>
      <c r="F62" s="5" t="inlineStr"/>
    </row>
    <row r="63">
      <c r="A63" s="5" t="inlineStr">
        <is>
          <t>Вклад платящего на своём железе</t>
        </is>
      </c>
      <c r="B63" s="15">
        <f>B59-B61</f>
        <v/>
      </c>
      <c r="C63" s="15">
        <f>C59-C61</f>
        <v/>
      </c>
      <c r="D63" s="15">
        <f>D59-D61</f>
        <v/>
      </c>
      <c r="E63" s="5" t="inlineStr">
        <is>
          <t>₽/мес</t>
        </is>
      </c>
      <c r="F63" s="5" t="inlineStr"/>
    </row>
    <row r="64">
      <c r="A64" s="5" t="inlineStr">
        <is>
          <t>Безубыточность при API: платящих</t>
        </is>
      </c>
      <c r="B64" s="11">
        <f>IF(B62&lt;=0,"нет",B49/B62)</f>
        <v/>
      </c>
      <c r="C64" s="11">
        <f>IF(C62&lt;=0,"нет",C49/C62)</f>
        <v/>
      </c>
      <c r="D64" s="11">
        <f>IF(D62&lt;=0,"нет",D49/D62)</f>
        <v/>
      </c>
      <c r="E64" s="5" t="inlineStr">
        <is>
          <t>чел.</t>
        </is>
      </c>
      <c r="F64" s="5" t="inlineStr">
        <is>
          <t>постоянные ÷ вклад</t>
        </is>
      </c>
    </row>
    <row r="65">
      <c r="A65" s="5" t="inlineStr">
        <is>
          <t>Безубыточность на своём железе: платящих</t>
        </is>
      </c>
      <c r="B65" s="11">
        <f>IF(B63&lt;=0,"нет",(B49+Допущения!B45)/B63)</f>
        <v/>
      </c>
      <c r="C65" s="11">
        <f>IF(C63&lt;=0,"нет",(C49+Допущения!C45)/C63)</f>
        <v/>
      </c>
      <c r="D65" s="11">
        <f>IF(D63&lt;=0,"нет",(D49+Допущения!D45)/D63)</f>
        <v/>
      </c>
      <c r="E65" s="5" t="inlineStr">
        <is>
          <t>чел.</t>
        </is>
      </c>
      <c r="F65" s="5" t="inlineStr">
        <is>
          <t>(постоянные + MLOps) ÷ вклад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4" customWidth="1" min="3" max="3"/>
    <col width="34" customWidth="1" min="4" max="4"/>
  </cols>
  <sheetData>
    <row r="1">
      <c r="A1" s="1" t="inlineStr">
        <is>
          <t>Ключевые метрики продукта и целевые значения</t>
        </is>
      </c>
    </row>
    <row r="3">
      <c r="A3" s="2" t="inlineStr">
        <is>
          <t>Метрика</t>
        </is>
      </c>
      <c r="B3" s="2" t="inlineStr">
        <is>
          <t>Как измеряем</t>
        </is>
      </c>
      <c r="C3" s="2" t="inlineStr">
        <is>
          <t>Целевое значение</t>
        </is>
      </c>
      <c r="D3" s="2" t="inlineStr">
        <is>
          <t>Этап / метод (docs/05-discovery.md)</t>
        </is>
      </c>
    </row>
    <row r="4">
      <c r="A4" s="18" t="inlineStr">
        <is>
          <t>Спрос: CTR кнопки «Подключить почту»</t>
        </is>
      </c>
      <c r="B4" s="18" t="inlineStr">
        <is>
          <t>клики ÷ показы лендинга</t>
        </is>
      </c>
      <c r="C4" s="18" t="inlineStr">
        <is>
          <t>≥ 8%</t>
        </is>
      </c>
      <c r="D4" s="18" t="inlineStr">
        <is>
          <t>Fake door</t>
        </is>
      </c>
    </row>
    <row r="5">
      <c r="A5" s="18" t="inlineStr">
        <is>
          <t>Спрос: заявки от кликнувших</t>
        </is>
      </c>
      <c r="B5" s="18" t="inlineStr">
        <is>
          <t>оставили контакт ÷ кликнули</t>
        </is>
      </c>
      <c r="C5" s="18" t="inlineStr">
        <is>
          <t>≥ 30%</t>
        </is>
      </c>
      <c r="D5" s="18" t="inlineStr">
        <is>
          <t>Fake door</t>
        </is>
      </c>
    </row>
    <row r="6">
      <c r="A6" s="18" t="inlineStr">
        <is>
          <t>Готовность подключить ящик (заявленная)</t>
        </is>
      </c>
      <c r="B6" s="18" t="inlineStr">
        <is>
          <t>ответы «скорее да/да» ÷ все</t>
        </is>
      </c>
      <c r="C6" s="18" t="inlineStr">
        <is>
          <t>≥ 40% (в модели факт. подключение 2–10%: заявленное всегда выше)</t>
        </is>
      </c>
      <c r="D6" s="18" t="inlineStr">
        <is>
          <t>Опрос</t>
        </is>
      </c>
    </row>
    <row r="7">
      <c r="A7" s="18" t="inlineStr">
        <is>
          <t>Готовность платить</t>
        </is>
      </c>
      <c r="B7" s="18" t="inlineStr">
        <is>
          <t>доля, готовая платить ≥ 149 ₽/мес</t>
        </is>
      </c>
      <c r="C7" s="18" t="inlineStr">
        <is>
          <t>≥ 25%</t>
        </is>
      </c>
      <c r="D7" s="18" t="inlineStr">
        <is>
          <t>Опрос</t>
        </is>
      </c>
    </row>
    <row r="8">
      <c r="A8" s="18" t="inlineStr">
        <is>
          <t>Боль подтверждена</t>
        </is>
      </c>
      <c r="B8" s="18" t="inlineStr">
        <is>
          <t>называют конкретный случай за 3 мес.</t>
        </is>
      </c>
      <c r="C8" s="18" t="inlineStr">
        <is>
          <t>≥ 60%</t>
        </is>
      </c>
      <c r="D8" s="18" t="inlineStr">
        <is>
          <t>Интервью</t>
        </is>
      </c>
    </row>
    <row r="9">
      <c r="A9" s="18" t="inlineStr">
        <is>
          <t>Понятность без подсказки</t>
        </is>
      </c>
      <c r="B9" s="18" t="inlineStr">
        <is>
          <t>понимают, что бот делает и чего нет</t>
        </is>
      </c>
      <c r="C9" s="18" t="inlineStr">
        <is>
          <t>≥ 70%</t>
        </is>
      </c>
      <c r="D9" s="18" t="inlineStr">
        <is>
          <t>Прототип</t>
        </is>
      </c>
    </row>
    <row r="10">
      <c r="A10" s="18" t="inlineStr">
        <is>
          <t>Полезность ответов</t>
        </is>
      </c>
      <c r="B10" s="18" t="inlineStr">
        <is>
          <t>доля «полезно» в тестовых сценариях</t>
        </is>
      </c>
      <c r="C10" s="18" t="inlineStr">
        <is>
          <t>≥ 80%</t>
        </is>
      </c>
      <c r="D10" s="18" t="inlineStr">
        <is>
          <t>Тест сценариев</t>
        </is>
      </c>
    </row>
    <row r="11">
      <c r="A11" s="18" t="inlineStr">
        <is>
          <t>Критичные ошибки</t>
        </is>
      </c>
      <c r="B11" s="18" t="inlineStr">
        <is>
          <t>пропущено важное письмо / выдумка</t>
        </is>
      </c>
      <c r="C11" s="18" t="inlineStr">
        <is>
          <t>единицы на прогон</t>
        </is>
      </c>
      <c r="D11" s="18" t="inlineStr">
        <is>
          <t>Тест сценариев</t>
        </is>
      </c>
    </row>
    <row r="12">
      <c r="A12" s="18" t="inlineStr">
        <is>
          <t>Подключение: конверсия онбординга</t>
        </is>
      </c>
      <c r="B12" s="18" t="inlineStr">
        <is>
          <t>завершили OAuth ÷ начали</t>
        </is>
      </c>
      <c r="C12" s="18" t="inlineStr">
        <is>
          <t>≥ 50%</t>
        </is>
      </c>
      <c r="D12" s="18" t="inlineStr">
        <is>
          <t>Пилот</t>
        </is>
      </c>
    </row>
    <row r="13">
      <c r="A13" s="18" t="inlineStr">
        <is>
          <t>Активация</t>
        </is>
      </c>
      <c r="B13" s="18" t="inlineStr">
        <is>
          <t>сделали ≥ 1 запрос за 24 ч после подключения</t>
        </is>
      </c>
      <c r="C13" s="18" t="inlineStr">
        <is>
          <t>≥ 60%</t>
        </is>
      </c>
      <c r="D13" s="18" t="inlineStr">
        <is>
          <t>Пилот</t>
        </is>
      </c>
    </row>
    <row r="14">
      <c r="A14" s="18" t="inlineStr">
        <is>
          <t>Удержание D14</t>
        </is>
      </c>
      <c r="B14" s="18" t="inlineStr">
        <is>
          <t>вернулись на 2-й неделе</t>
        </is>
      </c>
      <c r="C14" s="18" t="inlineStr">
        <is>
          <t>≥ 50%</t>
        </is>
      </c>
      <c r="D14" s="18" t="inlineStr">
        <is>
          <t>Пилот</t>
        </is>
      </c>
    </row>
    <row r="15">
      <c r="A15" s="18" t="inlineStr">
        <is>
          <t>Частота использования</t>
        </is>
      </c>
      <c r="B15" s="18" t="inlineStr">
        <is>
          <t>запросов на пользователя в неделю</t>
        </is>
      </c>
      <c r="C15" s="18" t="inlineStr">
        <is>
          <t>≥ 5</t>
        </is>
      </c>
      <c r="D15" s="18" t="inlineStr">
        <is>
          <t>Пилот</t>
        </is>
      </c>
    </row>
    <row r="16">
      <c r="A16" s="18" t="inlineStr">
        <is>
          <t>Отключение доступа</t>
        </is>
      </c>
      <c r="B16" s="18" t="inlineStr">
        <is>
          <t>отозвали доступ к ящику</t>
        </is>
      </c>
      <c r="C16" s="18" t="inlineStr">
        <is>
          <t>&lt; 15% за 30 дней</t>
        </is>
      </c>
      <c r="D16" s="18" t="inlineStr">
        <is>
          <t>Пилот</t>
        </is>
      </c>
    </row>
    <row r="17">
      <c r="A17" s="18" t="inlineStr">
        <is>
          <t>Конверсия в оплату</t>
        </is>
      </c>
      <c r="B17" s="18" t="inlineStr">
        <is>
          <t>платящие ÷ подключившие</t>
        </is>
      </c>
      <c r="C17" s="18" t="inlineStr">
        <is>
          <t>3–8% (модель)</t>
        </is>
      </c>
      <c r="D17" s="18" t="inlineStr">
        <is>
          <t>После запуска платного тарифа</t>
        </is>
      </c>
    </row>
    <row r="18">
      <c r="A18" s="18" t="inlineStr">
        <is>
          <t>Месячный отток платящих</t>
        </is>
      </c>
      <c r="B18" s="18" t="inlineStr">
        <is>
          <t>ушедшие ÷ платящие на начало месяца</t>
        </is>
      </c>
      <c r="C18" s="18" t="inlineStr">
        <is>
          <t>≤ 8%</t>
        </is>
      </c>
      <c r="D18" s="18" t="inlineStr">
        <is>
          <t>После запуска</t>
        </is>
      </c>
    </row>
    <row r="19">
      <c r="A19" s="18" t="inlineStr">
        <is>
          <t>Стоимость LLM на пользователя</t>
        </is>
      </c>
      <c r="B19" s="18" t="inlineStr">
        <is>
          <t>₽ токенов ÷ активных</t>
        </is>
      </c>
      <c r="C19" s="18" t="inlineStr">
        <is>
          <t>&lt; 25% от цены подписки</t>
        </is>
      </c>
      <c r="D19" s="18" t="inlineStr">
        <is>
          <t>Пилот, лист «Расчёт»</t>
        </is>
      </c>
    </row>
    <row r="20">
      <c r="A20" s="18" t="inlineStr">
        <is>
          <t>CAC подключившего</t>
        </is>
      </c>
      <c r="B20" s="18" t="inlineStr">
        <is>
          <t>расходы на привлечение ÷ подключившие</t>
        </is>
      </c>
      <c r="C20" s="18" t="inlineStr">
        <is>
          <t>≤ 30 ₽ (база)</t>
        </is>
      </c>
      <c r="D20" s="18" t="inlineStr">
        <is>
          <t>После запуска</t>
        </is>
      </c>
    </row>
    <row r="21">
      <c r="A21" s="18" t="inlineStr">
        <is>
          <t>Безопасность</t>
        </is>
      </c>
      <c r="B21" s="18" t="inlineStr">
        <is>
          <t>инциденты утечки/автоотправки</t>
        </is>
      </c>
      <c r="C21" s="18" t="inlineStr">
        <is>
          <t>0</t>
        </is>
      </c>
      <c r="D21" s="18" t="inlineStr">
        <is>
          <t>Постоянно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2026-09-29T22:00:36Z</dcterms:created>
  <dcterms:modified xmlns:dcterms="http://purl.org/dc/terms/" xmlns:xsi="http://www.w3.org/2001/XMLSchema-instance" xsi:type="dcterms:W3CDTF">2026-09-29T22:00:37Z</dcterms:modified>
</cp:coreProperties>
</file>